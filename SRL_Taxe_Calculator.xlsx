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L Tax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Luna</t>
        </is>
      </c>
      <c r="B1" s="1" t="inlineStr">
        <is>
          <t>Venit Brut (EUR)</t>
        </is>
      </c>
      <c r="C1" s="1" t="inlineStr">
        <is>
          <t>Cheltuieli (EUR)</t>
        </is>
      </c>
      <c r="D1" s="1" t="inlineStr">
        <is>
          <t>Profit Brut</t>
        </is>
      </c>
      <c r="E1" s="1" t="inlineStr">
        <is>
          <t>Taxa 1% Trim</t>
        </is>
      </c>
      <c r="F1" s="1" t="inlineStr">
        <is>
          <t>Dividende (EUR)</t>
        </is>
      </c>
      <c r="G1" s="1" t="inlineStr">
        <is>
          <t>Impozit 16% (EUR)</t>
        </is>
      </c>
      <c r="H1" s="1" t="inlineStr">
        <is>
          <t>CASS (EUR)</t>
        </is>
      </c>
      <c r="I1" s="1" t="inlineStr">
        <is>
          <t>Total Taxe</t>
        </is>
      </c>
      <c r="J1" s="1" t="inlineStr">
        <is>
          <t>Net Lunar</t>
        </is>
      </c>
      <c r="K1" s="1" t="inlineStr">
        <is>
          <t>Net Cumulat</t>
        </is>
      </c>
    </row>
    <row r="2">
      <c r="A2" s="2" t="inlineStr">
        <is>
          <t>Ianuarie</t>
        </is>
      </c>
      <c r="B2" s="2" t="n">
        <v>2700</v>
      </c>
      <c r="C2" s="2" t="n">
        <v>800</v>
      </c>
      <c r="D2" s="2">
        <f>B2-C2</f>
        <v/>
      </c>
      <c r="E2" s="2">
        <f>(B2-C2)*0.01</f>
        <v/>
      </c>
      <c r="F2" s="2">
        <f>D2</f>
        <v/>
      </c>
      <c r="G2" s="2">
        <f>F2*0.16</f>
        <v/>
      </c>
      <c r="H2" s="2">
        <f>IF(F2&gt;2000,F2*0.1,0)</f>
        <v/>
      </c>
      <c r="I2" s="2">
        <f>E2+G2+H2</f>
        <v/>
      </c>
      <c r="J2" s="2">
        <f>F2-G2-H2</f>
        <v/>
      </c>
      <c r="K2" s="2">
        <f>J2</f>
        <v/>
      </c>
    </row>
    <row r="3">
      <c r="A3" s="2" t="inlineStr">
        <is>
          <t>Februarie</t>
        </is>
      </c>
      <c r="B3" s="2" t="n">
        <v>2700</v>
      </c>
      <c r="C3" s="2" t="n">
        <v>800</v>
      </c>
      <c r="D3" s="2">
        <f>B3-C3</f>
        <v/>
      </c>
      <c r="E3" s="2">
        <f>(B3-C3)*0.01</f>
        <v/>
      </c>
      <c r="F3" s="2">
        <f>D3</f>
        <v/>
      </c>
      <c r="G3" s="2">
        <f>F3*0.16</f>
        <v/>
      </c>
      <c r="H3" s="2">
        <f>IF(F3&gt;2000,F3*0.1,0)</f>
        <v/>
      </c>
      <c r="I3" s="2">
        <f>E3+G3+H3</f>
        <v/>
      </c>
      <c r="J3" s="2">
        <f>F3-G3-H3</f>
        <v/>
      </c>
      <c r="K3" s="2">
        <f>K2+J3</f>
        <v/>
      </c>
    </row>
    <row r="4">
      <c r="A4" s="2" t="inlineStr">
        <is>
          <t>Martie</t>
        </is>
      </c>
      <c r="B4" s="2" t="n">
        <v>2700</v>
      </c>
      <c r="C4" s="2" t="n">
        <v>800</v>
      </c>
      <c r="D4" s="2">
        <f>B4-C4</f>
        <v/>
      </c>
      <c r="E4" s="2">
        <f>(B4-C4)*0.01</f>
        <v/>
      </c>
      <c r="F4" s="2">
        <f>D4</f>
        <v/>
      </c>
      <c r="G4" s="2">
        <f>F4*0.16</f>
        <v/>
      </c>
      <c r="H4" s="2">
        <f>IF(F4&gt;2000,F4*0.1,0)</f>
        <v/>
      </c>
      <c r="I4" s="2">
        <f>E4+G4+H4</f>
        <v/>
      </c>
      <c r="J4" s="2">
        <f>F4-G4-H4</f>
        <v/>
      </c>
      <c r="K4" s="2">
        <f>K3+J4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3" t="inlineStr">
        <is>
          <t>TOTAL</t>
        </is>
      </c>
      <c r="B6" s="3">
        <f>SUM(B2:B5)</f>
        <v/>
      </c>
      <c r="C6" s="3">
        <f>SUM(C2:C5)</f>
        <v/>
      </c>
      <c r="D6" s="3">
        <f>SUM(D2:D5)</f>
        <v/>
      </c>
      <c r="E6" s="3" t="n"/>
      <c r="F6" s="3">
        <f>SUM(F2:F5)</f>
        <v/>
      </c>
      <c r="G6" s="3">
        <f>SUM(G2:G5)</f>
        <v/>
      </c>
      <c r="H6" s="3">
        <f>SUM(H2:H5)</f>
        <v/>
      </c>
      <c r="I6" s="3">
        <f>SUM(I2:I5)</f>
        <v/>
      </c>
      <c r="J6" s="3">
        <f>SUM(J2:J5)</f>
        <v/>
      </c>
      <c r="K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2026-05-19T16:27:56Z</dcterms:created>
  <dcterms:modified xmlns:dcterms="http://purl.org/dc/terms/" xmlns:xsi="http://www.w3.org/2001/XMLSchema-instance" xsi:type="dcterms:W3CDTF">2026-05-19T16:27:56Z</dcterms:modified>
</cp:coreProperties>
</file>